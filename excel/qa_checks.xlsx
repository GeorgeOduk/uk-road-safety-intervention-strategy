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esktop\UPSKILLING\UK-Road-Safety-Consulting\Excel\"/>
    </mc:Choice>
  </mc:AlternateContent>
  <xr:revisionPtr revIDLastSave="0" documentId="13_ncr:1_{64CB1980-DEE6-4C77-ADF5-C8F2B08870AE}" xr6:coauthVersionLast="47" xr6:coauthVersionMax="47" xr10:uidLastSave="{00000000-0000-0000-0000-000000000000}"/>
  <bookViews>
    <workbookView xWindow="-108" yWindow="-108" windowWidth="23256" windowHeight="12456" activeTab="1" xr2:uid="{2F1EBBE6-81A6-4DE9-85C0-69525D02FEE1}"/>
  </bookViews>
  <sheets>
    <sheet name="Data Dictionary" sheetId="1" r:id="rId1"/>
    <sheet name="QA Checks" sheetId="2" r:id="rId2"/>
    <sheet name="Intervention Prioritis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3" l="1"/>
  <c r="K6" i="3"/>
  <c r="K7" i="3"/>
  <c r="K8" i="3"/>
  <c r="K9" i="3"/>
  <c r="K10" i="3"/>
  <c r="K11" i="3"/>
  <c r="K4" i="3"/>
  <c r="J5" i="3"/>
  <c r="J6" i="3"/>
  <c r="J7" i="3"/>
  <c r="J8" i="3"/>
  <c r="J9" i="3"/>
  <c r="J10" i="3"/>
  <c r="J11" i="3"/>
  <c r="J4" i="3"/>
  <c r="G11" i="3"/>
  <c r="G10" i="3"/>
  <c r="G9" i="3"/>
  <c r="G8" i="3"/>
  <c r="G7" i="3"/>
  <c r="G6" i="3"/>
  <c r="G5" i="3"/>
  <c r="G4" i="3"/>
  <c r="E11" i="3"/>
  <c r="E4" i="3"/>
  <c r="E8" i="3"/>
  <c r="E6" i="3"/>
  <c r="E7" i="3"/>
  <c r="E10" i="3"/>
  <c r="E9" i="3"/>
  <c r="E5" i="3"/>
  <c r="C11" i="3"/>
  <c r="C4" i="3"/>
  <c r="C8" i="3"/>
  <c r="C6" i="3"/>
  <c r="C7" i="3"/>
  <c r="C10" i="3"/>
  <c r="C9" i="3"/>
  <c r="C5" i="3"/>
  <c r="D44" i="2"/>
  <c r="D45" i="2"/>
  <c r="D43" i="2"/>
  <c r="D35" i="2"/>
  <c r="D36" i="2"/>
  <c r="D37" i="2"/>
  <c r="D38" i="2"/>
  <c r="D34" i="2"/>
  <c r="E28" i="2"/>
  <c r="E27" i="2"/>
  <c r="E26" i="2"/>
  <c r="E29" i="2"/>
  <c r="D29" i="2"/>
  <c r="D27" i="2"/>
  <c r="D26" i="2"/>
  <c r="E25" i="2"/>
  <c r="D25" i="2"/>
  <c r="D24" i="2"/>
  <c r="E24" i="2"/>
  <c r="D19" i="2"/>
  <c r="D18" i="2"/>
  <c r="D17" i="2"/>
  <c r="D12" i="2"/>
  <c r="D11" i="2"/>
  <c r="D10" i="2"/>
  <c r="D9" i="2"/>
</calcChain>
</file>

<file path=xl/sharedStrings.xml><?xml version="1.0" encoding="utf-8"?>
<sst xmlns="http://schemas.openxmlformats.org/spreadsheetml/2006/main" count="178" uniqueCount="125">
  <si>
    <t>Field Name</t>
  </si>
  <si>
    <t>Source Table</t>
  </si>
  <si>
    <t>Data Type</t>
  </si>
  <si>
    <t>Business Meaning</t>
  </si>
  <si>
    <t>Notes</t>
  </si>
  <si>
    <t>UK Road Safety Intervention Strategy - Data Dictionary</t>
  </si>
  <si>
    <t>collision_index</t>
  </si>
  <si>
    <t>vw_casualty_analysis</t>
  </si>
  <si>
    <t>Text</t>
  </si>
  <si>
    <t>Unique identifier for each collision</t>
  </si>
  <si>
    <t>Y</t>
  </si>
  <si>
    <t>Used for distinct collision counts</t>
  </si>
  <si>
    <t>collision_date</t>
  </si>
  <si>
    <t>Date</t>
  </si>
  <si>
    <t>Date the collision occurred</t>
  </si>
  <si>
    <t>Used for trend analysis</t>
  </si>
  <si>
    <t>collision_year</t>
  </si>
  <si>
    <t>Number</t>
  </si>
  <si>
    <t>Year the collision occurred</t>
  </si>
  <si>
    <t>Used in slicers and yearly charts</t>
  </si>
  <si>
    <t>local_authority_ons_district</t>
  </si>
  <si>
    <t>Text/Code</t>
  </si>
  <si>
    <t>ONS local authority code used to join population data</t>
  </si>
  <si>
    <t>Critical for ONS enrichment</t>
  </si>
  <si>
    <t>More useful if district mapping</t>
  </si>
  <si>
    <t>local_authority_district</t>
  </si>
  <si>
    <t>Local authority district code for collision</t>
  </si>
  <si>
    <t>casualty_severity_label</t>
  </si>
  <si>
    <t>Readable severity category such as Fatal, Serious, Slight</t>
  </si>
  <si>
    <t>Used in charts and severity analysis</t>
  </si>
  <si>
    <t>ksi_flag</t>
  </si>
  <si>
    <t>Flag equal to 1 when casualty is killed or seriously injured</t>
  </si>
  <si>
    <t>Core project metric</t>
  </si>
  <si>
    <t>road_user_group</t>
  </si>
  <si>
    <t>Grouped road user category such as Pedestrian or Motorcyclist</t>
  </si>
  <si>
    <t>Central to recommendations</t>
  </si>
  <si>
    <t>speed_limit</t>
  </si>
  <si>
    <t>Recorded speed limit for the collision environment</t>
  </si>
  <si>
    <t>Used in environment risk analysis</t>
  </si>
  <si>
    <t>urban_rural_label</t>
  </si>
  <si>
    <t>Readable urban or rural label</t>
  </si>
  <si>
    <t>Used for segmentation</t>
  </si>
  <si>
    <t>light_conditions</t>
  </si>
  <si>
    <t>Recorded light conditions at collision time</t>
  </si>
  <si>
    <t>Useful for time/environment analysis</t>
  </si>
  <si>
    <t>Used in Dashboard?</t>
  </si>
  <si>
    <t>weather_conditions</t>
  </si>
  <si>
    <t>Recorded weather conditions at collision time</t>
  </si>
  <si>
    <t>N</t>
  </si>
  <si>
    <t>Keep if useful, otherwise not critical</t>
  </si>
  <si>
    <t>casualty_age_band_custom</t>
  </si>
  <si>
    <t>Grouped age bands created for analysis</t>
  </si>
  <si>
    <t>Used for demographic segmentation</t>
  </si>
  <si>
    <t>casualty_imd_decile</t>
  </si>
  <si>
    <t>Decimal</t>
  </si>
  <si>
    <t>latitude</t>
  </si>
  <si>
    <t>longitude</t>
  </si>
  <si>
    <t>Deprivation decile linked to casualty home area</t>
  </si>
  <si>
    <t>Useful for equity lens</t>
  </si>
  <si>
    <t>Latitude coordinate for mapping</t>
  </si>
  <si>
    <t>Longitude coordinate for mapping</t>
  </si>
  <si>
    <t>UK Road Safety Intervention Strategy - QA Checks</t>
  </si>
  <si>
    <t>Control Value</t>
  </si>
  <si>
    <t>Value</t>
  </si>
  <si>
    <t>Total rows in vw_casualty_analysis</t>
  </si>
  <si>
    <t>Table</t>
  </si>
  <si>
    <t>SQL Count</t>
  </si>
  <si>
    <t>Imported / Current Count</t>
  </si>
  <si>
    <t>Status</t>
  </si>
  <si>
    <t>casualties_last5_raw</t>
  </si>
  <si>
    <t>vehicles_last5_raw</t>
  </si>
  <si>
    <t>collisions_last5_raw</t>
  </si>
  <si>
    <t>2. Duplicate Checks</t>
  </si>
  <si>
    <t>1. Row Count Checks</t>
  </si>
  <si>
    <t>Check</t>
  </si>
  <si>
    <t>Expected</t>
  </si>
  <si>
    <t>Actual</t>
  </si>
  <si>
    <t>Duplicate casualty keys</t>
  </si>
  <si>
    <t>Duplicate vehicle keys</t>
  </si>
  <si>
    <t>Duplicate collision keys in collisions table</t>
  </si>
  <si>
    <t>3. Null Checks on Key Fields</t>
  </si>
  <si>
    <t>Field</t>
  </si>
  <si>
    <t>Max Allowed Nulls</t>
  </si>
  <si>
    <t>Actual Nulls</t>
  </si>
  <si>
    <t>Null%</t>
  </si>
  <si>
    <t>4. Reasonableness Checks - Casualties by Year</t>
  </si>
  <si>
    <t>Year</t>
  </si>
  <si>
    <t>SQL Casualties</t>
  </si>
  <si>
    <t>Power BI Casualties</t>
  </si>
  <si>
    <t>5. Reasonableness Checks - Casualties by Severity</t>
  </si>
  <si>
    <t>Severity</t>
  </si>
  <si>
    <t>PowerBI Count</t>
  </si>
  <si>
    <t>Fatal</t>
  </si>
  <si>
    <t>Serious</t>
  </si>
  <si>
    <t>Slight</t>
  </si>
  <si>
    <t>UK Road Safety Intervention Strategy - Intervention Prioritisation</t>
  </si>
  <si>
    <t>Segment</t>
  </si>
  <si>
    <t>Total KSI Raw</t>
  </si>
  <si>
    <t>Total KSI Score</t>
  </si>
  <si>
    <t xml:space="preserve">KSI % Raw </t>
  </si>
  <si>
    <t>KSI % Score</t>
  </si>
  <si>
    <t>YoY Trend % Raw</t>
  </si>
  <si>
    <t>Trend Score</t>
  </si>
  <si>
    <t>Equity Relevance (1-5)</t>
  </si>
  <si>
    <t>Feasibility (1-5)</t>
  </si>
  <si>
    <t>Weighted Score</t>
  </si>
  <si>
    <t>Rank</t>
  </si>
  <si>
    <t>Recommended Action</t>
  </si>
  <si>
    <t>Urban pedestrians</t>
  </si>
  <si>
    <t>Rural motorcyclists</t>
  </si>
  <si>
    <t>30mph pedestrian corridors</t>
  </si>
  <si>
    <t>60mph motorcycle corridors</t>
  </si>
  <si>
    <t>Night-time urban pedestrian risk</t>
  </si>
  <si>
    <t>Night-time rural severity risk</t>
  </si>
  <si>
    <t>Deprived urban vulnerable road users</t>
  </si>
  <si>
    <t>Top 5 KSI authorities by rate</t>
  </si>
  <si>
    <t>Prioritise crossing upgrades, junction redesign and traffic calming in high-footfall urban pedestrian hotspots to reduce the largest KSI burden.</t>
  </si>
  <si>
    <t>Target high-risk rural motorcycle routes with route-based enforcement, rider-risk campaigns and engineering improvements to address worsening severe harm.</t>
  </si>
  <si>
    <t>Improve night-time pedestrian safety in urban hotspots through better lighting, visibility measures, crossing protection and targeted evening enforcement.</t>
  </si>
  <si>
    <t>Target severe night-time rural corridors with route-safety reviews, speed management, hazard signing and selective engineering at high-severity locations.</t>
  </si>
  <si>
    <t>Launch authority-level intervention pilots in the five highest-rate areas and manage them through monthly hotspot review and KPI tracking.</t>
  </si>
  <si>
    <t>Prioritise equity-led investment in deprived urban areas through targeted pedestrian safety, safer crossings and local hotspot-based intervention planning.</t>
  </si>
  <si>
    <t>Focus local corridor safety programmes on 30mph pedestrian environments through crossing enhancements, speed-calming measures and junction visibility improvements.</t>
  </si>
  <si>
    <t>Review and treat high-risk 60mph motorcycle corridors using route audits, targeted enforcement, signage upgrades and surface-safety improvements.</t>
  </si>
  <si>
    <t>Available for mapping; not used in final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</si>
</sst>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rgb="FF00206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1" fillId="4" borderId="0" xfId="0" applyFont="1" applyFill="1"/>
    <xf numFmtId="0" fontId="4" fillId="0" borderId="0" xfId="0" applyFont="1"/>
    <xf numFmtId="0" fontId="0" fillId="0" borderId="1" xfId="0" applyBorder="1"/>
    <xf numFmtId="164" fontId="0" fillId="0" borderId="1" xfId="1" applyNumberFormat="1" applyFont="1" applyBorder="1"/>
    <xf numFmtId="0" fontId="1" fillId="4" borderId="1" xfId="0" applyFont="1" applyFill="1" applyBorder="1" applyAlignment="1">
      <alignment wrapText="1"/>
    </xf>
    <xf numFmtId="0" fontId="2" fillId="0" borderId="0" xfId="0" applyFont="1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" fontId="0" fillId="0" borderId="1" xfId="1" applyNumberFormat="1" applyFont="1" applyBorder="1" applyAlignment="1">
      <alignment wrapText="1"/>
    </xf>
    <xf numFmtId="2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" fontId="0" fillId="0" borderId="8" xfId="0" applyNumberFormat="1" applyBorder="1" applyAlignment="1">
      <alignment wrapText="1"/>
    </xf>
    <xf numFmtId="164" fontId="0" fillId="0" borderId="8" xfId="1" applyNumberFormat="1" applyFont="1" applyBorder="1" applyAlignment="1">
      <alignment wrapText="1"/>
    </xf>
    <xf numFmtId="1" fontId="0" fillId="0" borderId="8" xfId="1" applyNumberFormat="1" applyFont="1" applyBorder="1" applyAlignment="1">
      <alignment wrapText="1"/>
    </xf>
    <xf numFmtId="0" fontId="0" fillId="0" borderId="9" xfId="0" applyBorder="1" applyAlignment="1">
      <alignment wrapText="1"/>
    </xf>
  </cellXfs>
  <cellStyles count="2">
    <cellStyle name="Normal" xfId="0" builtinId="0"/>
    <cellStyle name="Percent" xfId="1" builtinId="5"/>
  </cellStyles>
  <dxfs count="19"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174B6-E21B-4CF5-95DB-3D8177EB7F52}" name="Table1" displayName="Table1" ref="A3:F18" headerRowCount="0" totalsRowShown="0" headerRowDxfId="18" dataDxfId="17">
  <tableColumns count="6">
    <tableColumn id="1" xr3:uid="{2246B538-F650-4A2B-8013-61B8720E166A}" name="Column1" headerRowDxfId="5" dataDxfId="16"/>
    <tableColumn id="2" xr3:uid="{15D5E1AA-0F47-4151-A39D-332D90411CD9}" name="Column2" headerRowDxfId="6" dataDxfId="15"/>
    <tableColumn id="3" xr3:uid="{8B68673F-20C0-40CE-B19D-C7EAFC4197C1}" name="Column3" headerRowDxfId="7" dataDxfId="14"/>
    <tableColumn id="4" xr3:uid="{DAF25017-97EA-4DD4-A471-87990107262C}" name="Column4" headerRowDxfId="8" dataDxfId="13"/>
    <tableColumn id="5" xr3:uid="{F8D264E4-45F8-4D40-ACF0-A044FD5E8D94}" name="Column5" headerRowDxfId="9" dataDxfId="12"/>
    <tableColumn id="6" xr3:uid="{D0A893C1-9F50-4AE3-8EAA-F0A9C9C2E7A1}" name="Column6" headerRowDxfId="10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C517-4F31-4664-847A-0D23808C9CE6}">
  <sheetPr>
    <tabColor theme="4" tint="0.59999389629810485"/>
  </sheetPr>
  <dimension ref="A1:G22"/>
  <sheetViews>
    <sheetView workbookViewId="0">
      <pane ySplit="2" topLeftCell="A9" activePane="bottomLeft" state="frozen"/>
      <selection pane="bottomLeft" activeCell="H23" sqref="H23"/>
    </sheetView>
  </sheetViews>
  <sheetFormatPr defaultRowHeight="14.4" x14ac:dyDescent="0.3"/>
  <cols>
    <col min="1" max="1" width="24.77734375" customWidth="1"/>
    <col min="2" max="2" width="22.77734375" customWidth="1"/>
    <col min="3" max="3" width="14.77734375" customWidth="1"/>
    <col min="4" max="4" width="43.109375" customWidth="1"/>
    <col min="5" max="5" width="18.77734375" customWidth="1"/>
    <col min="6" max="6" width="28.77734375" customWidth="1"/>
  </cols>
  <sheetData>
    <row r="1" spans="1:7" s="2" customFormat="1" ht="21" x14ac:dyDescent="0.4">
      <c r="A1" s="2" t="s">
        <v>5</v>
      </c>
    </row>
    <row r="2" spans="1:7" s="3" customFormat="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45</v>
      </c>
      <c r="F2" s="3" t="s">
        <v>4</v>
      </c>
    </row>
    <row r="3" spans="1:7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/>
    </row>
    <row r="4" spans="1:7" x14ac:dyDescent="0.3">
      <c r="A4" s="4" t="s">
        <v>12</v>
      </c>
      <c r="B4" s="4" t="s">
        <v>7</v>
      </c>
      <c r="C4" s="4" t="s">
        <v>13</v>
      </c>
      <c r="D4" s="4" t="s">
        <v>14</v>
      </c>
      <c r="E4" s="4" t="s">
        <v>10</v>
      </c>
      <c r="F4" s="4" t="s">
        <v>15</v>
      </c>
      <c r="G4" s="4"/>
    </row>
    <row r="5" spans="1:7" x14ac:dyDescent="0.3">
      <c r="A5" s="4" t="s">
        <v>16</v>
      </c>
      <c r="B5" s="4" t="s">
        <v>7</v>
      </c>
      <c r="C5" s="4" t="s">
        <v>17</v>
      </c>
      <c r="D5" s="4" t="s">
        <v>18</v>
      </c>
      <c r="E5" s="4" t="s">
        <v>10</v>
      </c>
      <c r="F5" s="4" t="s">
        <v>19</v>
      </c>
      <c r="G5" s="4"/>
    </row>
    <row r="6" spans="1:7" x14ac:dyDescent="0.3">
      <c r="A6" s="4" t="s">
        <v>25</v>
      </c>
      <c r="B6" s="4" t="s">
        <v>7</v>
      </c>
      <c r="C6" s="4" t="s">
        <v>21</v>
      </c>
      <c r="D6" s="4" t="s">
        <v>26</v>
      </c>
      <c r="E6" s="4" t="s">
        <v>48</v>
      </c>
      <c r="F6" s="4" t="s">
        <v>24</v>
      </c>
      <c r="G6" s="4"/>
    </row>
    <row r="7" spans="1:7" ht="28.8" x14ac:dyDescent="0.3">
      <c r="A7" s="4" t="s">
        <v>20</v>
      </c>
      <c r="B7" s="4" t="s">
        <v>7</v>
      </c>
      <c r="C7" s="4" t="s">
        <v>8</v>
      </c>
      <c r="D7" s="4" t="s">
        <v>22</v>
      </c>
      <c r="E7" s="4" t="s">
        <v>10</v>
      </c>
      <c r="F7" s="4" t="s">
        <v>23</v>
      </c>
      <c r="G7" s="4"/>
    </row>
    <row r="8" spans="1:7" ht="28.8" x14ac:dyDescent="0.3">
      <c r="A8" s="4" t="s">
        <v>27</v>
      </c>
      <c r="B8" s="4" t="s">
        <v>7</v>
      </c>
      <c r="C8" s="4" t="s">
        <v>8</v>
      </c>
      <c r="D8" s="4" t="s">
        <v>28</v>
      </c>
      <c r="E8" s="4" t="s">
        <v>10</v>
      </c>
      <c r="F8" s="4" t="s">
        <v>29</v>
      </c>
      <c r="G8" s="4"/>
    </row>
    <row r="9" spans="1:7" ht="28.8" x14ac:dyDescent="0.3">
      <c r="A9" s="4" t="s">
        <v>30</v>
      </c>
      <c r="B9" s="4" t="s">
        <v>7</v>
      </c>
      <c r="C9" s="4" t="s">
        <v>17</v>
      </c>
      <c r="D9" s="4" t="s">
        <v>31</v>
      </c>
      <c r="E9" s="4" t="s">
        <v>10</v>
      </c>
      <c r="F9" s="4" t="s">
        <v>32</v>
      </c>
      <c r="G9" s="4"/>
    </row>
    <row r="10" spans="1:7" ht="28.8" x14ac:dyDescent="0.3">
      <c r="A10" s="4" t="s">
        <v>33</v>
      </c>
      <c r="B10" s="4" t="s">
        <v>7</v>
      </c>
      <c r="C10" s="4" t="s">
        <v>8</v>
      </c>
      <c r="D10" s="4" t="s">
        <v>34</v>
      </c>
      <c r="E10" s="4" t="s">
        <v>10</v>
      </c>
      <c r="F10" s="4" t="s">
        <v>35</v>
      </c>
      <c r="G10" s="4"/>
    </row>
    <row r="11" spans="1:7" x14ac:dyDescent="0.3">
      <c r="A11" s="4" t="s">
        <v>36</v>
      </c>
      <c r="B11" s="4" t="s">
        <v>7</v>
      </c>
      <c r="C11" s="4" t="s">
        <v>17</v>
      </c>
      <c r="D11" s="4" t="s">
        <v>37</v>
      </c>
      <c r="E11" s="4" t="s">
        <v>10</v>
      </c>
      <c r="F11" s="4" t="s">
        <v>38</v>
      </c>
      <c r="G11" s="4"/>
    </row>
    <row r="12" spans="1:7" x14ac:dyDescent="0.3">
      <c r="A12" s="4" t="s">
        <v>39</v>
      </c>
      <c r="B12" s="4" t="s">
        <v>7</v>
      </c>
      <c r="C12" s="4" t="s">
        <v>8</v>
      </c>
      <c r="D12" s="4" t="s">
        <v>40</v>
      </c>
      <c r="E12" s="4" t="s">
        <v>10</v>
      </c>
      <c r="F12" s="4" t="s">
        <v>41</v>
      </c>
      <c r="G12" s="4"/>
    </row>
    <row r="13" spans="1:7" ht="28.8" x14ac:dyDescent="0.3">
      <c r="A13" s="4" t="s">
        <v>42</v>
      </c>
      <c r="B13" s="4" t="s">
        <v>7</v>
      </c>
      <c r="C13" s="4" t="s">
        <v>21</v>
      </c>
      <c r="D13" s="4" t="s">
        <v>43</v>
      </c>
      <c r="E13" s="4" t="s">
        <v>10</v>
      </c>
      <c r="F13" s="4" t="s">
        <v>44</v>
      </c>
      <c r="G13" s="4"/>
    </row>
    <row r="14" spans="1:7" ht="28.8" x14ac:dyDescent="0.3">
      <c r="A14" s="4" t="s">
        <v>46</v>
      </c>
      <c r="B14" s="4" t="s">
        <v>7</v>
      </c>
      <c r="C14" s="4" t="s">
        <v>21</v>
      </c>
      <c r="D14" s="4" t="s">
        <v>47</v>
      </c>
      <c r="E14" s="4" t="s">
        <v>48</v>
      </c>
      <c r="F14" s="4" t="s">
        <v>49</v>
      </c>
      <c r="G14" s="4"/>
    </row>
    <row r="15" spans="1:7" ht="28.8" x14ac:dyDescent="0.3">
      <c r="A15" s="4" t="s">
        <v>50</v>
      </c>
      <c r="B15" s="4" t="s">
        <v>7</v>
      </c>
      <c r="C15" s="4" t="s">
        <v>8</v>
      </c>
      <c r="D15" s="4" t="s">
        <v>51</v>
      </c>
      <c r="E15" s="4" t="s">
        <v>10</v>
      </c>
      <c r="F15" s="4" t="s">
        <v>52</v>
      </c>
      <c r="G15" s="4"/>
    </row>
    <row r="16" spans="1:7" x14ac:dyDescent="0.3">
      <c r="A16" s="4" t="s">
        <v>53</v>
      </c>
      <c r="B16" s="4" t="s">
        <v>7</v>
      </c>
      <c r="C16" s="4" t="s">
        <v>17</v>
      </c>
      <c r="D16" s="4" t="s">
        <v>57</v>
      </c>
      <c r="E16" s="4" t="s">
        <v>10</v>
      </c>
      <c r="F16" s="4" t="s">
        <v>58</v>
      </c>
      <c r="G16" s="4"/>
    </row>
    <row r="17" spans="1:7" ht="28.8" x14ac:dyDescent="0.3">
      <c r="A17" s="4" t="s">
        <v>55</v>
      </c>
      <c r="B17" s="4" t="s">
        <v>7</v>
      </c>
      <c r="C17" s="4" t="s">
        <v>54</v>
      </c>
      <c r="D17" s="4" t="s">
        <v>59</v>
      </c>
      <c r="E17" s="4" t="s">
        <v>48</v>
      </c>
      <c r="F17" s="4" t="s">
        <v>124</v>
      </c>
      <c r="G17" s="4"/>
    </row>
    <row r="18" spans="1:7" ht="28.8" x14ac:dyDescent="0.3">
      <c r="A18" s="4" t="s">
        <v>56</v>
      </c>
      <c r="B18" s="4" t="s">
        <v>7</v>
      </c>
      <c r="C18" s="4" t="s">
        <v>54</v>
      </c>
      <c r="D18" s="4" t="s">
        <v>60</v>
      </c>
      <c r="E18" s="4" t="s">
        <v>48</v>
      </c>
      <c r="F18" s="4" t="s">
        <v>124</v>
      </c>
      <c r="G18" s="4"/>
    </row>
    <row r="19" spans="1:7" x14ac:dyDescent="0.3">
      <c r="A19" s="4"/>
      <c r="B19" s="4"/>
      <c r="C19" s="4"/>
      <c r="D19" s="4"/>
      <c r="E19" s="4"/>
      <c r="F19" s="4"/>
      <c r="G19" s="4"/>
    </row>
    <row r="20" spans="1:7" x14ac:dyDescent="0.3">
      <c r="A20" s="4"/>
      <c r="B20" s="4"/>
      <c r="C20" s="4"/>
      <c r="D20" s="4"/>
      <c r="E20" s="4"/>
      <c r="F20" s="4"/>
      <c r="G20" s="4"/>
    </row>
    <row r="21" spans="1:7" x14ac:dyDescent="0.3">
      <c r="A21" s="4"/>
      <c r="B21" s="4"/>
      <c r="C21" s="4"/>
      <c r="D21" s="4"/>
      <c r="E21" s="4"/>
      <c r="F21" s="4"/>
      <c r="G21" s="4"/>
    </row>
    <row r="22" spans="1:7" x14ac:dyDescent="0.3">
      <c r="A22" s="4"/>
      <c r="B22" s="4"/>
      <c r="C22" s="4"/>
      <c r="D22" s="4"/>
      <c r="E22" s="4"/>
      <c r="F22" s="4"/>
      <c r="G22" s="4"/>
    </row>
  </sheetData>
  <dataValidations disablePrompts="1" count="1">
    <dataValidation type="list" allowBlank="1" showInputMessage="1" showErrorMessage="1" sqref="E3:E99" xr:uid="{E15EDD59-BA21-4DD2-8021-9D3BCDA943EB}">
      <formula1>"Y, Optional, 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0799-9EF5-4877-82B3-99043EAA5757}">
  <sheetPr>
    <tabColor theme="5" tint="0.39997558519241921"/>
  </sheetPr>
  <dimension ref="A1:E45"/>
  <sheetViews>
    <sheetView tabSelected="1" workbookViewId="0">
      <pane ySplit="7" topLeftCell="A14" activePane="bottomLeft" state="frozen"/>
      <selection pane="bottomLeft" activeCell="A25" sqref="A25"/>
    </sheetView>
  </sheetViews>
  <sheetFormatPr defaultRowHeight="14.4" x14ac:dyDescent="0.3"/>
  <cols>
    <col min="1" max="1" width="52.77734375" customWidth="1"/>
    <col min="2" max="2" width="31.33203125" bestFit="1" customWidth="1"/>
    <col min="3" max="3" width="36.6640625" bestFit="1" customWidth="1"/>
    <col min="4" max="4" width="13" customWidth="1"/>
  </cols>
  <sheetData>
    <row r="1" spans="1:4" s="1" customFormat="1" ht="21" x14ac:dyDescent="0.4">
      <c r="A1" s="1" t="s">
        <v>61</v>
      </c>
    </row>
    <row r="3" spans="1:4" x14ac:dyDescent="0.3">
      <c r="A3" s="5" t="s">
        <v>62</v>
      </c>
      <c r="B3" s="5" t="s">
        <v>63</v>
      </c>
    </row>
    <row r="4" spans="1:4" x14ac:dyDescent="0.3">
      <c r="A4" s="7" t="s">
        <v>64</v>
      </c>
      <c r="B4" s="7">
        <v>640522</v>
      </c>
    </row>
    <row r="7" spans="1:4" ht="17.399999999999999" x14ac:dyDescent="0.35">
      <c r="A7" s="6" t="s">
        <v>73</v>
      </c>
    </row>
    <row r="8" spans="1:4" x14ac:dyDescent="0.3">
      <c r="A8" s="9" t="s">
        <v>65</v>
      </c>
      <c r="B8" s="9" t="s">
        <v>66</v>
      </c>
      <c r="C8" s="9" t="s">
        <v>67</v>
      </c>
      <c r="D8" s="9" t="s">
        <v>68</v>
      </c>
    </row>
    <row r="9" spans="1:4" x14ac:dyDescent="0.3">
      <c r="A9" s="7" t="s">
        <v>71</v>
      </c>
      <c r="B9" s="7">
        <v>503475</v>
      </c>
      <c r="C9" s="7">
        <v>503475</v>
      </c>
      <c r="D9" s="7" t="str">
        <f>IF(B9=C9, "Pass", "Review")</f>
        <v>Pass</v>
      </c>
    </row>
    <row r="10" spans="1:4" x14ac:dyDescent="0.3">
      <c r="A10" s="7" t="s">
        <v>70</v>
      </c>
      <c r="B10" s="7">
        <v>920692</v>
      </c>
      <c r="C10" s="7">
        <v>920692</v>
      </c>
      <c r="D10" s="7" t="str">
        <f>IF(B10=C10, "Pass", "Review")</f>
        <v>Pass</v>
      </c>
    </row>
    <row r="11" spans="1:4" x14ac:dyDescent="0.3">
      <c r="A11" s="7" t="s">
        <v>69</v>
      </c>
      <c r="B11" s="7">
        <v>640522</v>
      </c>
      <c r="C11" s="7">
        <v>640522</v>
      </c>
      <c r="D11" s="7" t="str">
        <f>IF(B11=C11, "Pass", "Review")</f>
        <v>Pass</v>
      </c>
    </row>
    <row r="12" spans="1:4" x14ac:dyDescent="0.3">
      <c r="A12" s="7" t="s">
        <v>7</v>
      </c>
      <c r="B12" s="7">
        <v>640522</v>
      </c>
      <c r="C12" s="7">
        <v>640522</v>
      </c>
      <c r="D12" s="7" t="str">
        <f>IF(B12=C12, "Pass", "Review")</f>
        <v>Pass</v>
      </c>
    </row>
    <row r="15" spans="1:4" ht="17.399999999999999" x14ac:dyDescent="0.35">
      <c r="A15" s="6" t="s">
        <v>72</v>
      </c>
    </row>
    <row r="16" spans="1:4" x14ac:dyDescent="0.3">
      <c r="A16" s="9" t="s">
        <v>74</v>
      </c>
      <c r="B16" s="9" t="s">
        <v>75</v>
      </c>
      <c r="C16" s="9" t="s">
        <v>76</v>
      </c>
      <c r="D16" s="9" t="s">
        <v>68</v>
      </c>
    </row>
    <row r="17" spans="1:5" x14ac:dyDescent="0.3">
      <c r="A17" s="7" t="s">
        <v>77</v>
      </c>
      <c r="B17" s="7">
        <v>0</v>
      </c>
      <c r="C17" s="7">
        <v>0</v>
      </c>
      <c r="D17" s="7" t="str">
        <f>IF(B17=C17, "Pass", "Review")</f>
        <v>Pass</v>
      </c>
    </row>
    <row r="18" spans="1:5" x14ac:dyDescent="0.3">
      <c r="A18" s="7" t="s">
        <v>78</v>
      </c>
      <c r="B18" s="7">
        <v>0</v>
      </c>
      <c r="C18" s="7">
        <v>0</v>
      </c>
      <c r="D18" s="7" t="str">
        <f>IF(B18=C18, "Pass", "Review")</f>
        <v>Pass</v>
      </c>
    </row>
    <row r="19" spans="1:5" x14ac:dyDescent="0.3">
      <c r="A19" s="7" t="s">
        <v>79</v>
      </c>
      <c r="B19" s="7">
        <v>0</v>
      </c>
      <c r="C19" s="7">
        <v>0</v>
      </c>
      <c r="D19" s="7" t="str">
        <f>IF(B19=C19, "Pass", "Review")</f>
        <v>Pass</v>
      </c>
    </row>
    <row r="22" spans="1:5" ht="17.399999999999999" x14ac:dyDescent="0.35">
      <c r="A22" s="6" t="s">
        <v>80</v>
      </c>
    </row>
    <row r="23" spans="1:5" x14ac:dyDescent="0.3">
      <c r="A23" s="9" t="s">
        <v>81</v>
      </c>
      <c r="B23" s="9" t="s">
        <v>82</v>
      </c>
      <c r="C23" s="9" t="s">
        <v>83</v>
      </c>
      <c r="D23" s="9" t="s">
        <v>84</v>
      </c>
      <c r="E23" s="9" t="s">
        <v>68</v>
      </c>
    </row>
    <row r="24" spans="1:5" x14ac:dyDescent="0.3">
      <c r="A24" s="7" t="s">
        <v>12</v>
      </c>
      <c r="B24" s="7">
        <v>0</v>
      </c>
      <c r="C24" s="7">
        <v>0</v>
      </c>
      <c r="D24" s="8">
        <f>IF($B$4=0, "", C24/$B$4)</f>
        <v>0</v>
      </c>
      <c r="E24" s="7" t="str">
        <f t="shared" ref="E24:E29" si="0">IF(C24&lt;=B24, "Pass", "Review")</f>
        <v>Pass</v>
      </c>
    </row>
    <row r="25" spans="1:5" x14ac:dyDescent="0.3">
      <c r="A25" s="7" t="s">
        <v>20</v>
      </c>
      <c r="B25" s="7">
        <v>0</v>
      </c>
      <c r="C25" s="7">
        <v>0</v>
      </c>
      <c r="D25" s="8">
        <f>IF($B$4=0, "", C25/$B$4)</f>
        <v>0</v>
      </c>
      <c r="E25" s="7" t="str">
        <f t="shared" si="0"/>
        <v>Pass</v>
      </c>
    </row>
    <row r="26" spans="1:5" x14ac:dyDescent="0.3">
      <c r="A26" s="7" t="s">
        <v>27</v>
      </c>
      <c r="B26" s="7">
        <v>0</v>
      </c>
      <c r="C26" s="7">
        <v>0</v>
      </c>
      <c r="D26" s="8">
        <f>IF($B$4=0, "", C26/$B$4)</f>
        <v>0</v>
      </c>
      <c r="E26" s="7" t="str">
        <f t="shared" si="0"/>
        <v>Pass</v>
      </c>
    </row>
    <row r="27" spans="1:5" x14ac:dyDescent="0.3">
      <c r="A27" s="7" t="s">
        <v>33</v>
      </c>
      <c r="B27" s="7">
        <v>0</v>
      </c>
      <c r="C27" s="7">
        <v>0</v>
      </c>
      <c r="D27" s="8">
        <f>IF($B$4=0, "", C27/$B$4)</f>
        <v>0</v>
      </c>
      <c r="E27" s="7" t="str">
        <f t="shared" si="0"/>
        <v>Pass</v>
      </c>
    </row>
    <row r="28" spans="1:5" x14ac:dyDescent="0.3">
      <c r="A28" s="7" t="s">
        <v>36</v>
      </c>
      <c r="B28" s="7">
        <v>0</v>
      </c>
      <c r="C28" s="7">
        <v>0</v>
      </c>
      <c r="D28" s="8">
        <v>0</v>
      </c>
      <c r="E28" s="7" t="str">
        <f t="shared" si="0"/>
        <v>Pass</v>
      </c>
    </row>
    <row r="29" spans="1:5" x14ac:dyDescent="0.3">
      <c r="A29" s="7" t="s">
        <v>53</v>
      </c>
      <c r="B29" s="7">
        <v>999999</v>
      </c>
      <c r="C29" s="7">
        <v>69483</v>
      </c>
      <c r="D29" s="8">
        <f>IF($B$4=0, "", C29/$B$4)</f>
        <v>0.10847870955252123</v>
      </c>
      <c r="E29" s="7" t="str">
        <f t="shared" si="0"/>
        <v>Pass</v>
      </c>
    </row>
    <row r="32" spans="1:5" ht="17.399999999999999" x14ac:dyDescent="0.35">
      <c r="A32" s="6" t="s">
        <v>85</v>
      </c>
    </row>
    <row r="33" spans="1:4" x14ac:dyDescent="0.3">
      <c r="A33" s="9" t="s">
        <v>86</v>
      </c>
      <c r="B33" s="9" t="s">
        <v>87</v>
      </c>
      <c r="C33" s="9" t="s">
        <v>88</v>
      </c>
      <c r="D33" s="9" t="s">
        <v>68</v>
      </c>
    </row>
    <row r="34" spans="1:4" x14ac:dyDescent="0.3">
      <c r="A34" s="7">
        <v>2020</v>
      </c>
      <c r="B34" s="7">
        <v>115584</v>
      </c>
      <c r="C34" s="7">
        <v>115584</v>
      </c>
      <c r="D34" s="7" t="str">
        <f>IF(B34=C34, "Pass", "Review")</f>
        <v>Pass</v>
      </c>
    </row>
    <row r="35" spans="1:4" x14ac:dyDescent="0.3">
      <c r="A35" s="7">
        <v>2021</v>
      </c>
      <c r="B35" s="7">
        <v>128209</v>
      </c>
      <c r="C35" s="7">
        <v>128209</v>
      </c>
      <c r="D35" s="7" t="str">
        <f t="shared" ref="D35:D38" si="1">IF(B35=C35, "Pass", "Review")</f>
        <v>Pass</v>
      </c>
    </row>
    <row r="36" spans="1:4" x14ac:dyDescent="0.3">
      <c r="A36" s="7">
        <v>2022</v>
      </c>
      <c r="B36" s="7">
        <v>135480</v>
      </c>
      <c r="C36" s="7">
        <v>135480</v>
      </c>
      <c r="D36" s="7" t="str">
        <f t="shared" si="1"/>
        <v>Pass</v>
      </c>
    </row>
    <row r="37" spans="1:4" x14ac:dyDescent="0.3">
      <c r="A37" s="7">
        <v>2023</v>
      </c>
      <c r="B37" s="7">
        <v>132977</v>
      </c>
      <c r="C37" s="7">
        <v>132977</v>
      </c>
      <c r="D37" s="7" t="str">
        <f t="shared" si="1"/>
        <v>Pass</v>
      </c>
    </row>
    <row r="38" spans="1:4" x14ac:dyDescent="0.3">
      <c r="A38" s="7">
        <v>2024</v>
      </c>
      <c r="B38" s="7">
        <v>128272</v>
      </c>
      <c r="C38" s="7">
        <v>128272</v>
      </c>
      <c r="D38" s="7" t="str">
        <f t="shared" si="1"/>
        <v>Pass</v>
      </c>
    </row>
    <row r="41" spans="1:4" ht="17.399999999999999" x14ac:dyDescent="0.35">
      <c r="A41" s="6" t="s">
        <v>89</v>
      </c>
    </row>
    <row r="42" spans="1:4" x14ac:dyDescent="0.3">
      <c r="A42" s="9" t="s">
        <v>90</v>
      </c>
      <c r="B42" s="9" t="s">
        <v>66</v>
      </c>
      <c r="C42" s="9" t="s">
        <v>91</v>
      </c>
      <c r="D42" s="9" t="s">
        <v>68</v>
      </c>
    </row>
    <row r="43" spans="1:4" x14ac:dyDescent="0.3">
      <c r="A43" s="7" t="s">
        <v>92</v>
      </c>
      <c r="B43" s="7">
        <v>7955</v>
      </c>
      <c r="C43" s="7">
        <v>7955</v>
      </c>
      <c r="D43" s="7" t="str">
        <f>IF(B43=C43, "Pass", "Review")</f>
        <v>Pass</v>
      </c>
    </row>
    <row r="44" spans="1:4" x14ac:dyDescent="0.3">
      <c r="A44" s="7" t="s">
        <v>93</v>
      </c>
      <c r="B44" s="7">
        <v>121355</v>
      </c>
      <c r="C44" s="7">
        <v>121355</v>
      </c>
      <c r="D44" s="7" t="str">
        <f t="shared" ref="D44:D45" si="2">IF(B44=C44, "Pass", "Review")</f>
        <v>Pass</v>
      </c>
    </row>
    <row r="45" spans="1:4" x14ac:dyDescent="0.3">
      <c r="A45" s="7" t="s">
        <v>94</v>
      </c>
      <c r="B45" s="7">
        <v>511212</v>
      </c>
      <c r="C45" s="7">
        <v>511212</v>
      </c>
      <c r="D45" s="7" t="str">
        <f t="shared" si="2"/>
        <v>Pass</v>
      </c>
    </row>
  </sheetData>
  <conditionalFormatting sqref="D9:D12 D17:D19 E24:E29 D34:D38 D43:D45">
    <cfRule type="containsText" dxfId="4" priority="1" operator="containsText" text="Review">
      <formula>NOT(ISERROR(SEARCH("Review",D9)))</formula>
    </cfRule>
    <cfRule type="containsText" dxfId="3" priority="2" operator="containsText" text="Pass">
      <formula>NOT(ISERROR(SEARCH("Pass",D9)))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9C07-0E03-4D37-9010-130DD00E8F94}">
  <sheetPr>
    <tabColor theme="9" tint="0.59999389629810485"/>
  </sheetPr>
  <dimension ref="A1:L22"/>
  <sheetViews>
    <sheetView zoomScale="80" zoomScaleNormal="80" workbookViewId="0">
      <pane ySplit="3" topLeftCell="A4" activePane="bottomLeft" state="frozen"/>
      <selection pane="bottomLeft" activeCell="L9" sqref="L9"/>
    </sheetView>
  </sheetViews>
  <sheetFormatPr defaultRowHeight="14.4" x14ac:dyDescent="0.3"/>
  <cols>
    <col min="1" max="1" width="28.77734375" customWidth="1"/>
    <col min="2" max="3" width="14.77734375" customWidth="1"/>
    <col min="4" max="5" width="12.77734375" customWidth="1"/>
    <col min="6" max="6" width="14.77734375" customWidth="1"/>
    <col min="7" max="7" width="12.77734375" customWidth="1"/>
    <col min="8" max="8" width="18.77734375" customWidth="1"/>
    <col min="9" max="9" width="16.77734375" customWidth="1"/>
    <col min="10" max="10" width="14.77734375" customWidth="1"/>
    <col min="11" max="11" width="10.77734375" customWidth="1"/>
    <col min="12" max="12" width="36.77734375" customWidth="1"/>
  </cols>
  <sheetData>
    <row r="1" spans="1:12" ht="21" x14ac:dyDescent="0.4">
      <c r="A1" s="10" t="s">
        <v>95</v>
      </c>
    </row>
    <row r="2" spans="1:12" ht="15" thickBot="1" x14ac:dyDescent="0.35"/>
    <row r="3" spans="1:12" ht="28.8" x14ac:dyDescent="0.3">
      <c r="A3" s="16" t="s">
        <v>96</v>
      </c>
      <c r="B3" s="17" t="s">
        <v>97</v>
      </c>
      <c r="C3" s="17" t="s">
        <v>98</v>
      </c>
      <c r="D3" s="17" t="s">
        <v>99</v>
      </c>
      <c r="E3" s="17" t="s">
        <v>100</v>
      </c>
      <c r="F3" s="17" t="s">
        <v>101</v>
      </c>
      <c r="G3" s="17" t="s">
        <v>102</v>
      </c>
      <c r="H3" s="17" t="s">
        <v>103</v>
      </c>
      <c r="I3" s="17" t="s">
        <v>104</v>
      </c>
      <c r="J3" s="17" t="s">
        <v>105</v>
      </c>
      <c r="K3" s="17" t="s">
        <v>106</v>
      </c>
      <c r="L3" s="18" t="s">
        <v>107</v>
      </c>
    </row>
    <row r="4" spans="1:12" ht="72" x14ac:dyDescent="0.3">
      <c r="A4" s="19" t="s">
        <v>110</v>
      </c>
      <c r="B4" s="11">
        <v>46317</v>
      </c>
      <c r="C4" s="12">
        <f t="shared" ref="C4:C11" si="0">6-ROUNDUP((RANK(B4,$B$4:$B$11,0)/COUNT($B$4:$B$11))*5,0)</f>
        <v>4</v>
      </c>
      <c r="D4" s="13">
        <v>0.27700000000000002</v>
      </c>
      <c r="E4" s="14">
        <f t="shared" ref="E4:E11" si="1">6-ROUNDUP((RANK(D4,$D$4:$D$11,0)/COUNT($D$4:$D$11))*5,0)</f>
        <v>5</v>
      </c>
      <c r="F4" s="13">
        <v>0.26</v>
      </c>
      <c r="G4" s="12">
        <f>6-ROUNDUP((RANK(F4,$F$4:$F$11,0)/COUNT($F$4:$F$11))*5,0)</f>
        <v>1</v>
      </c>
      <c r="H4" s="12">
        <v>5</v>
      </c>
      <c r="I4" s="12">
        <v>5</v>
      </c>
      <c r="J4" s="15">
        <f>ROUND(0.4*C4 + 0.25*E4 + 0.15*G4 + 0.1*H4 + 0.1*I4, 2)</f>
        <v>4</v>
      </c>
      <c r="K4" s="12">
        <f>_xlfn.RANK.EQ(J4,$J$4:$J$11,0)+COUNTIF($J$4:J4,J4)-1</f>
        <v>1</v>
      </c>
      <c r="L4" s="20" t="s">
        <v>122</v>
      </c>
    </row>
    <row r="5" spans="1:12" ht="57.6" x14ac:dyDescent="0.3">
      <c r="A5" s="19" t="s">
        <v>108</v>
      </c>
      <c r="B5" s="11">
        <v>37376</v>
      </c>
      <c r="C5" s="12">
        <f t="shared" si="0"/>
        <v>3</v>
      </c>
      <c r="D5" s="13">
        <v>0.26300000000000001</v>
      </c>
      <c r="E5" s="14">
        <f t="shared" si="1"/>
        <v>4</v>
      </c>
      <c r="F5" s="13">
        <v>0.27200000000000002</v>
      </c>
      <c r="G5" s="12">
        <f t="shared" ref="G5:G11" si="2">6-ROUNDUP((RANK(F5,$F$4:$F$11,0)/COUNT($F$4:$F$11))*5,0)</f>
        <v>4</v>
      </c>
      <c r="H5" s="12">
        <v>5</v>
      </c>
      <c r="I5" s="12">
        <v>5</v>
      </c>
      <c r="J5" s="15">
        <f t="shared" ref="J5:J11" si="3">ROUND(0.4*C5 + 0.25*E5 + 0.15*G5 + 0.1*H5 + 0.1*I5, 2)</f>
        <v>3.8</v>
      </c>
      <c r="K5" s="12">
        <f>_xlfn.RANK.EQ(J5,$J$4:$J$11,0)+COUNTIF($J$4:J5,J5)-1</f>
        <v>2</v>
      </c>
      <c r="L5" s="20" t="s">
        <v>116</v>
      </c>
    </row>
    <row r="6" spans="1:12" ht="57.6" x14ac:dyDescent="0.3">
      <c r="A6" s="19" t="s">
        <v>112</v>
      </c>
      <c r="B6" s="11">
        <v>37376</v>
      </c>
      <c r="C6" s="12">
        <f t="shared" si="0"/>
        <v>3</v>
      </c>
      <c r="D6" s="13">
        <v>0.26300000000000001</v>
      </c>
      <c r="E6" s="14">
        <f t="shared" si="1"/>
        <v>4</v>
      </c>
      <c r="F6" s="13">
        <v>0.27200000000000002</v>
      </c>
      <c r="G6" s="12">
        <f t="shared" si="2"/>
        <v>4</v>
      </c>
      <c r="H6" s="12">
        <v>4</v>
      </c>
      <c r="I6" s="12">
        <v>4</v>
      </c>
      <c r="J6" s="15">
        <f t="shared" si="3"/>
        <v>3.6</v>
      </c>
      <c r="K6" s="12">
        <f>_xlfn.RANK.EQ(J6,$J$4:$J$11,0)+COUNTIF($J$4:J6,J6)-1</f>
        <v>3</v>
      </c>
      <c r="L6" s="20" t="s">
        <v>118</v>
      </c>
    </row>
    <row r="7" spans="1:12" ht="57.6" x14ac:dyDescent="0.3">
      <c r="A7" s="19" t="s">
        <v>113</v>
      </c>
      <c r="B7" s="11">
        <v>54731</v>
      </c>
      <c r="C7" s="12">
        <f t="shared" si="0"/>
        <v>5</v>
      </c>
      <c r="D7" s="13">
        <v>0.23699999999999999</v>
      </c>
      <c r="E7" s="14">
        <f t="shared" si="1"/>
        <v>2</v>
      </c>
      <c r="F7" s="13">
        <v>0.27</v>
      </c>
      <c r="G7" s="12">
        <f t="shared" si="2"/>
        <v>2</v>
      </c>
      <c r="H7" s="12">
        <v>2</v>
      </c>
      <c r="I7" s="12">
        <v>3</v>
      </c>
      <c r="J7" s="15">
        <f t="shared" si="3"/>
        <v>3.3</v>
      </c>
      <c r="K7" s="12">
        <f>_xlfn.RANK.EQ(J7,$J$4:$J$11,0)+COUNTIF($J$4:J7,J7)-1</f>
        <v>4</v>
      </c>
      <c r="L7" s="20" t="s">
        <v>119</v>
      </c>
    </row>
    <row r="8" spans="1:12" ht="57.6" x14ac:dyDescent="0.3">
      <c r="A8" s="19" t="s">
        <v>111</v>
      </c>
      <c r="B8" s="11">
        <v>50625</v>
      </c>
      <c r="C8" s="12">
        <f t="shared" si="0"/>
        <v>4</v>
      </c>
      <c r="D8" s="13">
        <v>0.14000000000000001</v>
      </c>
      <c r="E8" s="14">
        <f t="shared" si="1"/>
        <v>1</v>
      </c>
      <c r="F8" s="13">
        <v>0.28499999999999998</v>
      </c>
      <c r="G8" s="12">
        <f t="shared" si="2"/>
        <v>4</v>
      </c>
      <c r="H8" s="12">
        <v>2</v>
      </c>
      <c r="I8" s="12">
        <v>3</v>
      </c>
      <c r="J8" s="15">
        <f t="shared" si="3"/>
        <v>2.95</v>
      </c>
      <c r="K8" s="12">
        <f>_xlfn.RANK.EQ(J8,$J$4:$J$11,0)+COUNTIF($J$4:J8,J8)-1</f>
        <v>5</v>
      </c>
      <c r="L8" s="20" t="s">
        <v>123</v>
      </c>
    </row>
    <row r="9" spans="1:12" ht="57.6" x14ac:dyDescent="0.3">
      <c r="A9" s="19" t="s">
        <v>114</v>
      </c>
      <c r="B9" s="11">
        <v>19887</v>
      </c>
      <c r="C9" s="12">
        <f t="shared" si="0"/>
        <v>1</v>
      </c>
      <c r="D9" s="13">
        <v>0.253</v>
      </c>
      <c r="E9" s="14">
        <f t="shared" si="1"/>
        <v>3</v>
      </c>
      <c r="F9" s="13">
        <v>0.248</v>
      </c>
      <c r="G9" s="12">
        <f t="shared" si="2"/>
        <v>1</v>
      </c>
      <c r="H9" s="12">
        <v>5</v>
      </c>
      <c r="I9" s="12">
        <v>4</v>
      </c>
      <c r="J9" s="15">
        <f t="shared" si="3"/>
        <v>2.2000000000000002</v>
      </c>
      <c r="K9" s="12">
        <f>_xlfn.RANK.EQ(J9,$J$4:$J$11,0)+COUNTIF($J$4:J9,J9)-1</f>
        <v>7</v>
      </c>
      <c r="L9" s="20" t="s">
        <v>121</v>
      </c>
    </row>
    <row r="10" spans="1:12" ht="57.6" x14ac:dyDescent="0.3">
      <c r="A10" s="19" t="s">
        <v>115</v>
      </c>
      <c r="B10" s="11">
        <v>2788</v>
      </c>
      <c r="C10" s="12">
        <f t="shared" si="0"/>
        <v>1</v>
      </c>
      <c r="D10" s="13">
        <v>0.23499999999999999</v>
      </c>
      <c r="E10" s="14">
        <f t="shared" si="1"/>
        <v>2</v>
      </c>
      <c r="F10" s="13">
        <v>0.27100000000000002</v>
      </c>
      <c r="G10" s="12">
        <f t="shared" si="2"/>
        <v>2</v>
      </c>
      <c r="H10" s="12">
        <v>4</v>
      </c>
      <c r="I10" s="12">
        <v>5</v>
      </c>
      <c r="J10" s="15">
        <f t="shared" si="3"/>
        <v>2.1</v>
      </c>
      <c r="K10" s="12">
        <f>_xlfn.RANK.EQ(J10,$J$4:$J$11,0)+COUNTIF($J$4:J10,J10)-1</f>
        <v>8</v>
      </c>
      <c r="L10" s="20" t="s">
        <v>120</v>
      </c>
    </row>
    <row r="11" spans="1:12" ht="58.2" thickBot="1" x14ac:dyDescent="0.35">
      <c r="A11" s="21" t="s">
        <v>109</v>
      </c>
      <c r="B11" s="22">
        <v>30320</v>
      </c>
      <c r="C11" s="23">
        <f t="shared" si="0"/>
        <v>2</v>
      </c>
      <c r="D11" s="24">
        <v>0.183</v>
      </c>
      <c r="E11" s="25">
        <f t="shared" si="1"/>
        <v>1</v>
      </c>
      <c r="F11" s="24">
        <v>0.28599999999999998</v>
      </c>
      <c r="G11" s="12">
        <f t="shared" si="2"/>
        <v>5</v>
      </c>
      <c r="H11" s="23">
        <v>3</v>
      </c>
      <c r="I11" s="23">
        <v>3</v>
      </c>
      <c r="J11" s="15">
        <f t="shared" si="3"/>
        <v>2.4</v>
      </c>
      <c r="K11" s="12">
        <f>_xlfn.RANK.EQ(J11,$J$4:$J$11,0)+COUNTIF($J$4:J11,J11)-1</f>
        <v>6</v>
      </c>
      <c r="L11" s="26" t="s">
        <v>117</v>
      </c>
    </row>
    <row r="12" spans="1:12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</sheetData>
  <sortState xmlns:xlrd2="http://schemas.microsoft.com/office/spreadsheetml/2017/richdata2" ref="A4:L11">
    <sortCondition ref="K4:K11"/>
  </sortState>
  <conditionalFormatting sqref="J4:J11">
    <cfRule type="colorScale" priority="4">
      <colorScale>
        <cfvo type="min"/>
        <cfvo type="max"/>
        <color rgb="FFFCFCFF"/>
        <color rgb="FF63BE7B"/>
      </colorScale>
    </cfRule>
  </conditionalFormatting>
  <conditionalFormatting sqref="K4:K11">
    <cfRule type="colorScale" priority="3">
      <colorScale>
        <cfvo type="min"/>
        <cfvo type="max"/>
        <color rgb="FFFCFCFF"/>
        <color rgb="FF63BE7B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howInputMessage="1" showErrorMessage="1" sqref="H4:I11" xr:uid="{2D455198-8E47-459A-9A67-7625C95D7C83}">
      <formula1>"1,2,3,4,5"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Dictionary</vt:lpstr>
      <vt:lpstr>QA Checks</vt:lpstr>
      <vt:lpstr>Intervention Prioritisation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Oduk</dc:creator>
  <cp:lastModifiedBy>Dennis Oduk</cp:lastModifiedBy>
  <dcterms:created xsi:type="dcterms:W3CDTF">2026-04-25T14:30:44Z</dcterms:created>
  <dcterms:modified xsi:type="dcterms:W3CDTF">2026-05-07T11:01:49Z</dcterms:modified>
</cp:coreProperties>
</file>